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Category" sheetId="2" state="visible" r:id="rId2"/>
    <sheet xmlns:r="http://schemas.openxmlformats.org/officeDocument/2006/relationships" name="by_Location" sheetId="3" state="visible" r:id="rId3"/>
    <sheet xmlns:r="http://schemas.openxmlformats.org/officeDocument/2006/relationships" name="by_SalesRep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price_tiers" sheetId="6" state="visible" r:id="rId6"/>
    <sheet xmlns:r="http://schemas.openxmlformats.org/officeDocument/2006/relationships" name="ML_Model_Performance" sheetId="7" state="visible" r:id="rId7"/>
    <sheet xmlns:r="http://schemas.openxmlformats.org/officeDocument/2006/relationships" name="ML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00"/>
    <numFmt numFmtId="167" formatCode="0.0&quot;%&quot;"/>
    <numFmt numFmtId="168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4A3B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563EB"/>
      <sz val="12"/>
    </font>
    <font>
      <name val="Calibri"/>
      <b val="1"/>
      <color rgb="001E293B"/>
      <sz val="1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6" fillId="3" borderId="0" pivotButton="0" quotePrefix="0" xfId="0"/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'Summary'!$A$15:$A$17</f>
            </numRef>
          </cat>
          <val>
            <numRef>
              <f>'Summary'!$B$15:$B$17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'by_Category'!C3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'by_Category'!$A$4:$A$7</f>
            </numRef>
          </cat>
          <val>
            <numRef>
              <f>'by_Category'!$C$4:$C$7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Category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'monthly_trend'!B3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'monthly_trend'!$A$4:$A$6</f>
            </numRef>
          </cat>
          <val>
            <numRef>
              <f>'monthly_trend'!$B$4:$B$6</f>
            </numRef>
          </val>
        </ser>
        <ser>
          <idx val="1"/>
          <order val="1"/>
          <tx>
            <strRef>
              <f>'monthly_trend'!C3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'monthly_trend'!$A$4:$A$6</f>
            </numRef>
          </cat>
          <val>
            <numRef>
              <f>'monthly_trend'!$C$4:$C$6</f>
            </numRef>
          </val>
        </ser>
        <ser>
          <idx val="2"/>
          <order val="2"/>
          <tx>
            <strRef>
              <f>'monthly_trend'!D3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'monthly_trend'!$A$4:$A$6</f>
            </numRef>
          </cat>
          <val>
            <numRef>
              <f>'monthly_trend'!$D$4:$D$6</f>
            </numRef>
          </val>
        </ser>
        <ser>
          <idx val="3"/>
          <order val="3"/>
          <tx>
            <strRef>
              <f>'monthly_trend'!E3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'monthly_trend'!$A$4:$A$6</f>
            </numRef>
          </cat>
          <val>
            <numRef>
              <f>'monthly_trend'!$E$4:$E$6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R² Score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'ML_Model_Performance'!B19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'ML_Model_Performance'!$A$20:$A$22</f>
            </numRef>
          </cat>
          <val>
            <numRef>
              <f>'ML_Model_Performance'!$B$20:$B$22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Importance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'ML_Features'!C3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'ML_Features'!$B$4:$B$18</f>
            </numRef>
          </cat>
          <val>
            <numRef>
              <f>'ML_Features'!$C$4:$C$18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PI_Table" displayName="KPI_Table" ref="A4:B10" headerRowCount="1">
  <autoFilter ref="A4:B10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_Table" displayName="Monthly_Table" ref="A14:D17" headerRowCount="1">
  <autoFilter ref="A14:D17"/>
  <tableColumns count="4">
    <tableColumn id="1" name="None"/>
    <tableColumn id="2" name="None"/>
    <tableColumn id="3" name="None"/>
    <tableColumn id="4" name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_Table" displayName="Category_Table" ref="A3:F7" headerRowCount="1">
  <autoFilter ref="A3:F7"/>
  <tableColumns count="6">
    <tableColumn id="1" name="Category"/>
    <tableColumn id="2" name="Transactions"/>
    <tableColumn id="3" name="Total_Revenue"/>
    <tableColumn id="4" name="Total_Profit"/>
    <tableColumn id="5" name="Avg_Revenue"/>
    <tableColumn id="6" name="Avg_Profit_Mar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ocation_Table" displayName="Location_Table" ref="A3:E11" headerRowCount="1">
  <autoFilter ref="A3:E11"/>
  <tableColumns count="5">
    <tableColumn id="1" name="Location"/>
    <tableColumn id="2" name="Transactions"/>
    <tableColumn id="3" name="Total_Revenue"/>
    <tableColumn id="4" name="Total_Profit"/>
    <tableColumn id="5" name="Avg_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alesRep_Table" displayName="SalesRep_Table" ref="A3:E9" headerRowCount="1">
  <autoFilter ref="A3:E9"/>
  <tableColumns count="5">
    <tableColumn id="1" name="Sales_Rep"/>
    <tableColumn id="2" name="Transactions"/>
    <tableColumn id="3" name="Total_Revenue"/>
    <tableColumn id="4" name="Total_Profit"/>
    <tableColumn id="5" name="Avg_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Cat_Table" displayName="MonthlyCat_Table" ref="A3:F6" headerRowCount="1">
  <autoFilter ref="A3:F6"/>
  <tableColumns count="6">
    <tableColumn id="1" name="Month"/>
    <tableColumn id="2" name="Accessories"/>
    <tableColumn id="3" name="Laptops"/>
    <tableColumn id="4" name="Mobile Phones"/>
    <tableColumn id="5" name="Tablets"/>
    <tableColumn id="6" name="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ier_Table" displayName="Tier_Table" ref="A3:E7" headerRowCount="1">
  <autoFilter ref="A3:E7"/>
  <tableColumns count="5">
    <tableColumn id="1" name="Price_Tier"/>
    <tableColumn id="2" name="Transactions"/>
    <tableColumn id="3" name="Total_Revenue"/>
    <tableColumn id="4" name="Avg_Unit_Price"/>
    <tableColumn id="5" name="Avg_Profit_Marg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LMeta_Table" displayName="MLMeta_Table" ref="A3:B15" headerRowCount="1">
  <autoFilter ref="A3:B15"/>
  <tableColumns count="2">
    <tableColumn id="1" name="None"/>
    <tableColumn id="2" name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LMetrics_Table" displayName="MLMetrics_Table" ref="A19:E22" headerRowCount="1">
  <autoFilter ref="A19:E22"/>
  <tableColumns count="5">
    <tableColumn id="1" name="None"/>
    <tableColumn id="2" name="None"/>
    <tableColumn id="3" name="None"/>
    <tableColumn id="4" name="None"/>
    <tableColumn id="5" name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eature_Table" displayName="Feature_Table" ref="A3:D18" headerRowCount="1">
  <autoFilter ref="A3:D18"/>
  <tableColumns count="4">
    <tableColumn id="1" name="Rank"/>
    <tableColumn id="2" name="Feature"/>
    <tableColumn id="3" name="Importance"/>
    <tableColumn id="4" name="Normalized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1" t="inlineStr">
        <is>
          <t>Kaamil Technology Sales — Analytics Report</t>
        </is>
      </c>
    </row>
    <row r="2">
      <c r="A2" s="2" t="inlineStr">
        <is>
          <t>Period: 2026-06-01 → 2026-08-31  ·  1000 transactions  ·  8 cities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Revenue</t>
        </is>
      </c>
      <c r="B5" s="5" t="inlineStr">
        <is>
          <t>$601,030</t>
        </is>
      </c>
    </row>
    <row r="6">
      <c r="A6" s="4" t="inlineStr">
        <is>
          <t>Total Profit</t>
        </is>
      </c>
      <c r="B6" s="5" t="inlineStr">
        <is>
          <t>$115,630</t>
        </is>
      </c>
    </row>
    <row r="7">
      <c r="A7" s="4" t="inlineStr">
        <is>
          <t>Avg Order Value</t>
        </is>
      </c>
      <c r="B7" s="5" t="inlineStr">
        <is>
          <t>$601</t>
        </is>
      </c>
    </row>
    <row r="8">
      <c r="A8" s="4" t="inlineStr">
        <is>
          <t>Avg Profit Margin</t>
        </is>
      </c>
      <c r="B8" s="5" t="inlineStr">
        <is>
          <t>24.2%</t>
        </is>
      </c>
    </row>
    <row r="9">
      <c r="A9" s="4" t="inlineStr">
        <is>
          <t>Best ML Model</t>
        </is>
      </c>
      <c r="B9" s="5" t="inlineStr">
        <is>
          <t>GradientBoosting (R²=0.9900)</t>
        </is>
      </c>
    </row>
    <row r="10">
      <c r="A10" s="4" t="inlineStr">
        <is>
          <t>Categories</t>
        </is>
      </c>
      <c r="B10" s="5" t="inlineStr">
        <is>
          <t>Mobile Phones, Accessories, Laptops, Tablets</t>
        </is>
      </c>
    </row>
    <row r="11">
      <c r="A11" s="4" t="n"/>
      <c r="B11" s="6" t="n"/>
    </row>
    <row r="13">
      <c r="A13" s="7" t="inlineStr">
        <is>
          <t>Monthly Revenue Trend</t>
        </is>
      </c>
    </row>
    <row r="14">
      <c r="A14" s="3" t="n"/>
      <c r="B14" s="3" t="n"/>
      <c r="C14" s="3" t="n"/>
      <c r="D14" s="3" t="n"/>
    </row>
    <row r="15">
      <c r="A15" s="4" t="inlineStr">
        <is>
          <t>Month</t>
        </is>
      </c>
      <c r="B15" s="8" t="inlineStr">
        <is>
          <t>Revenue ($)</t>
        </is>
      </c>
      <c r="C15" s="6" t="inlineStr">
        <is>
          <t>MoM Change (%)</t>
        </is>
      </c>
      <c r="D15" s="6" t="inlineStr">
        <is>
          <t>Profit Margin (%)</t>
        </is>
      </c>
    </row>
    <row r="16">
      <c r="A16" s="4" t="inlineStr">
        <is>
          <t>Jun 2026</t>
        </is>
      </c>
      <c r="B16" s="8" t="n">
        <v>205948</v>
      </c>
      <c r="C16" s="6" t="inlineStr"/>
      <c r="D16" s="6" t="inlineStr">
        <is>
          <t>24.2%</t>
        </is>
      </c>
    </row>
    <row r="17">
      <c r="A17" s="4" t="inlineStr">
        <is>
          <t>Jul 2026</t>
        </is>
      </c>
      <c r="B17" s="8" t="n">
        <v>196788</v>
      </c>
      <c r="C17" s="6" t="inlineStr">
        <is>
          <t>-4.4%</t>
        </is>
      </c>
      <c r="D17" s="6" t="inlineStr">
        <is>
          <t>24.2%</t>
        </is>
      </c>
    </row>
    <row r="18">
      <c r="A18" t="inlineStr">
        <is>
          <t>Aug 2026</t>
        </is>
      </c>
      <c r="B18" t="n">
        <v>198294</v>
      </c>
      <c r="C18" t="inlineStr">
        <is>
          <t>0.8%</t>
        </is>
      </c>
      <c r="D18" t="inlineStr">
        <is>
          <t>24.2%</t>
        </is>
      </c>
    </row>
  </sheetData>
  <mergeCells count="3">
    <mergeCell ref="A2:F2"/>
    <mergeCell ref="A1:F1"/>
    <mergeCell ref="A13:D13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Performance by Product Category</t>
        </is>
      </c>
    </row>
    <row r="3">
      <c r="A3" s="3" t="inlineStr">
        <is>
          <t>Category</t>
        </is>
      </c>
      <c r="B3" s="3" t="inlineStr">
        <is>
          <t>Transactions</t>
        </is>
      </c>
      <c r="C3" s="3" t="inlineStr">
        <is>
          <t>Total_Revenue</t>
        </is>
      </c>
      <c r="D3" s="3" t="inlineStr">
        <is>
          <t>Total_Profit</t>
        </is>
      </c>
      <c r="E3" s="3" t="inlineStr">
        <is>
          <t>Avg_Revenue</t>
        </is>
      </c>
      <c r="F3" s="3" t="inlineStr">
        <is>
          <t>Avg_Profit_Margin</t>
        </is>
      </c>
    </row>
    <row r="4">
      <c r="A4" s="4" t="inlineStr">
        <is>
          <t>Mobile Phones</t>
        </is>
      </c>
      <c r="B4" s="6" t="n">
        <v>417</v>
      </c>
      <c r="C4" s="8" t="n">
        <v>261329</v>
      </c>
      <c r="D4" s="8" t="n">
        <v>45114</v>
      </c>
      <c r="E4" s="8" t="n">
        <v>626.6900000000001</v>
      </c>
      <c r="F4" s="6" t="inlineStr">
        <is>
          <t>19.6%</t>
        </is>
      </c>
      <c r="G4" t="n">
        <v>1.230215827338129</v>
      </c>
    </row>
    <row r="5">
      <c r="A5" s="4" t="inlineStr">
        <is>
          <t>Laptops</t>
        </is>
      </c>
      <c r="B5" s="6" t="n">
        <v>203</v>
      </c>
      <c r="C5" s="8" t="n">
        <v>168740</v>
      </c>
      <c r="D5" s="8" t="n">
        <v>28320</v>
      </c>
      <c r="E5" s="8" t="n">
        <v>831.23</v>
      </c>
      <c r="F5" s="6" t="inlineStr">
        <is>
          <t>18.5%</t>
        </is>
      </c>
      <c r="G5" t="n">
        <v>1.064039408866995</v>
      </c>
    </row>
    <row r="6">
      <c r="A6" s="4" t="inlineStr">
        <is>
          <t>Accessories</t>
        </is>
      </c>
      <c r="B6" s="6" t="n">
        <v>281</v>
      </c>
      <c r="C6" s="8" t="n">
        <v>112671</v>
      </c>
      <c r="D6" s="8" t="n">
        <v>31566</v>
      </c>
      <c r="E6" s="8" t="n">
        <v>400.96</v>
      </c>
      <c r="F6" s="6" t="inlineStr">
        <is>
          <t>37.1%</t>
        </is>
      </c>
      <c r="G6" t="n">
        <v>4.640569395017794</v>
      </c>
    </row>
    <row r="7">
      <c r="A7" s="4" t="inlineStr">
        <is>
          <t>Tablets</t>
        </is>
      </c>
      <c r="B7" s="6" t="n">
        <v>99</v>
      </c>
      <c r="C7" s="8" t="n">
        <v>58290</v>
      </c>
      <c r="D7" s="8" t="n">
        <v>10630</v>
      </c>
      <c r="E7" s="8" t="n">
        <v>588.79</v>
      </c>
      <c r="F7" s="6" t="inlineStr">
        <is>
          <t>19.2%</t>
        </is>
      </c>
      <c r="G7" t="n">
        <v>1.383838383838384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Performance by City (Location)</t>
        </is>
      </c>
    </row>
    <row r="3">
      <c r="A3" s="3" t="inlineStr">
        <is>
          <t>Location</t>
        </is>
      </c>
      <c r="B3" s="3" t="inlineStr">
        <is>
          <t>Transactions</t>
        </is>
      </c>
      <c r="C3" s="3" t="inlineStr">
        <is>
          <t>Total_Revenue</t>
        </is>
      </c>
      <c r="D3" s="3" t="inlineStr">
        <is>
          <t>Total_Profit</t>
        </is>
      </c>
      <c r="E3" s="3" t="inlineStr">
        <is>
          <t>Avg_Revenue</t>
        </is>
      </c>
    </row>
    <row r="4">
      <c r="A4" s="4" t="inlineStr">
        <is>
          <t>Bosaso</t>
        </is>
      </c>
      <c r="B4" s="6" t="n">
        <v>144</v>
      </c>
      <c r="C4" s="8" t="n">
        <v>88617</v>
      </c>
      <c r="D4" s="8" t="n">
        <v>17171</v>
      </c>
      <c r="E4" s="6" t="n">
        <v>615.4</v>
      </c>
      <c r="F4" t="inlineStr">
        <is>
          <t>24.0%</t>
        </is>
      </c>
    </row>
    <row r="5">
      <c r="A5" s="4" t="inlineStr">
        <is>
          <t>Garowe</t>
        </is>
      </c>
      <c r="B5" s="6" t="n">
        <v>124</v>
      </c>
      <c r="C5" s="8" t="n">
        <v>76821</v>
      </c>
      <c r="D5" s="8" t="n">
        <v>14444</v>
      </c>
      <c r="E5" s="6" t="n">
        <v>619.52</v>
      </c>
      <c r="F5" t="inlineStr">
        <is>
          <t>24.2%</t>
        </is>
      </c>
    </row>
    <row r="6">
      <c r="A6" s="4" t="inlineStr">
        <is>
          <t>Burao</t>
        </is>
      </c>
      <c r="B6" s="6" t="n">
        <v>119</v>
      </c>
      <c r="C6" s="8" t="n">
        <v>76779</v>
      </c>
      <c r="D6" s="8" t="n">
        <v>14753</v>
      </c>
      <c r="E6" s="6" t="n">
        <v>645.2</v>
      </c>
      <c r="F6" t="inlineStr">
        <is>
          <t>23.2%</t>
        </is>
      </c>
    </row>
    <row r="7">
      <c r="A7" s="4" t="inlineStr">
        <is>
          <t>Galkayo</t>
        </is>
      </c>
      <c r="B7" s="6" t="n">
        <v>117</v>
      </c>
      <c r="C7" s="8" t="n">
        <v>74259</v>
      </c>
      <c r="D7" s="8" t="n">
        <v>13959</v>
      </c>
      <c r="E7" s="6" t="n">
        <v>634.6900000000001</v>
      </c>
      <c r="F7" t="inlineStr">
        <is>
          <t>24.8%</t>
        </is>
      </c>
    </row>
    <row r="8">
      <c r="A8" s="4" t="inlineStr">
        <is>
          <t>Baidoa</t>
        </is>
      </c>
      <c r="B8" s="6" t="n">
        <v>135</v>
      </c>
      <c r="C8" s="8" t="n">
        <v>71841</v>
      </c>
      <c r="D8" s="8" t="n">
        <v>14248</v>
      </c>
      <c r="E8" s="6" t="n">
        <v>532.16</v>
      </c>
      <c r="F8" t="inlineStr">
        <is>
          <t>24.5%</t>
        </is>
      </c>
    </row>
    <row r="9">
      <c r="A9" s="4" t="inlineStr">
        <is>
          <t>Hargeisa</t>
        </is>
      </c>
      <c r="B9" s="6" t="n">
        <v>118</v>
      </c>
      <c r="C9" s="8" t="n">
        <v>71606</v>
      </c>
      <c r="D9" s="8" t="n">
        <v>13617</v>
      </c>
      <c r="E9" s="6" t="n">
        <v>606.83</v>
      </c>
      <c r="F9" t="inlineStr">
        <is>
          <t>23.9%</t>
        </is>
      </c>
    </row>
    <row r="10">
      <c r="A10" s="4" t="inlineStr">
        <is>
          <t>Mogadishu</t>
        </is>
      </c>
      <c r="B10" s="6" t="n">
        <v>115</v>
      </c>
      <c r="C10" s="8" t="n">
        <v>70945</v>
      </c>
      <c r="D10" s="8" t="n">
        <v>13362</v>
      </c>
      <c r="E10" s="6" t="n">
        <v>616.91</v>
      </c>
      <c r="F10" t="inlineStr">
        <is>
          <t>23.7%</t>
        </is>
      </c>
    </row>
    <row r="11">
      <c r="A11" s="4" t="inlineStr">
        <is>
          <t>Kismayo</t>
        </is>
      </c>
      <c r="B11" s="6" t="n">
        <v>128</v>
      </c>
      <c r="C11" s="8" t="n">
        <v>70162</v>
      </c>
      <c r="D11" s="8" t="n">
        <v>14076</v>
      </c>
      <c r="E11" s="6" t="n">
        <v>548.14</v>
      </c>
      <c r="F11" t="inlineStr">
        <is>
          <t>25.6%</t>
        </is>
      </c>
    </row>
  </sheetData>
  <mergeCells count="1">
    <mergeCell ref="A1:E1"/>
  </mergeCells>
  <conditionalFormatting sqref="C4:C11">
    <cfRule type="colorScale" priority="1">
      <colorScale>
        <cfvo type="min"/>
        <cfvo type="percentile" val="50"/>
        <cfvo type="max"/>
        <color rgb="001E293B"/>
        <color rgb="002563EB"/>
        <color rgb="0010B981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Performance by Sales Representative</t>
        </is>
      </c>
    </row>
    <row r="3">
      <c r="A3" s="3" t="inlineStr">
        <is>
          <t>Sales_Rep</t>
        </is>
      </c>
      <c r="B3" s="3" t="inlineStr">
        <is>
          <t>Transactions</t>
        </is>
      </c>
      <c r="C3" s="3" t="inlineStr">
        <is>
          <t>Total_Revenue</t>
        </is>
      </c>
      <c r="D3" s="3" t="inlineStr">
        <is>
          <t>Total_Profit</t>
        </is>
      </c>
      <c r="E3" s="3" t="inlineStr">
        <is>
          <t>Avg_Revenue</t>
        </is>
      </c>
    </row>
    <row r="4">
      <c r="A4" s="4" t="inlineStr">
        <is>
          <t>Abdirizak Noor</t>
        </is>
      </c>
      <c r="B4" s="6" t="n">
        <v>175</v>
      </c>
      <c r="C4" s="8" t="n">
        <v>113990</v>
      </c>
      <c r="D4" s="8" t="n">
        <v>21757</v>
      </c>
      <c r="E4" s="6" t="n">
        <v>651.37</v>
      </c>
      <c r="F4" t="inlineStr">
        <is>
          <t>23.3%</t>
        </is>
      </c>
    </row>
    <row r="5">
      <c r="A5" s="4" t="inlineStr">
        <is>
          <t>Muna Said</t>
        </is>
      </c>
      <c r="B5" s="6" t="n">
        <v>177</v>
      </c>
      <c r="C5" s="8" t="n">
        <v>112439</v>
      </c>
      <c r="D5" s="8" t="n">
        <v>21038</v>
      </c>
      <c r="E5" s="6" t="n">
        <v>635.25</v>
      </c>
      <c r="F5" t="inlineStr">
        <is>
          <t>24.1%</t>
        </is>
      </c>
    </row>
    <row r="6">
      <c r="A6" s="4" t="inlineStr">
        <is>
          <t>Mahad Ahmed</t>
        </is>
      </c>
      <c r="B6" s="6" t="n">
        <v>176</v>
      </c>
      <c r="C6" s="8" t="n">
        <v>105191</v>
      </c>
      <c r="D6" s="8" t="n">
        <v>19656</v>
      </c>
      <c r="E6" s="6" t="n">
        <v>597.6799999999999</v>
      </c>
      <c r="F6" t="inlineStr">
        <is>
          <t>23.4%</t>
        </is>
      </c>
    </row>
    <row r="7">
      <c r="A7" s="4" t="inlineStr">
        <is>
          <t>Sharmaarke Ali</t>
        </is>
      </c>
      <c r="B7" s="6" t="n">
        <v>182</v>
      </c>
      <c r="C7" s="8" t="n">
        <v>101537</v>
      </c>
      <c r="D7" s="8" t="n">
        <v>19867</v>
      </c>
      <c r="E7" s="6" t="n">
        <v>557.9</v>
      </c>
      <c r="F7" t="inlineStr">
        <is>
          <t>24.5%</t>
        </is>
      </c>
    </row>
    <row r="8">
      <c r="A8" s="4" t="inlineStr">
        <is>
          <t>Zahra Jama</t>
        </is>
      </c>
      <c r="B8" s="6" t="n">
        <v>146</v>
      </c>
      <c r="C8" s="8" t="n">
        <v>85753</v>
      </c>
      <c r="D8" s="8" t="n">
        <v>17132</v>
      </c>
      <c r="E8" s="6" t="n">
        <v>587.35</v>
      </c>
      <c r="F8" t="inlineStr">
        <is>
          <t>26.4%</t>
        </is>
      </c>
    </row>
    <row r="9">
      <c r="A9" s="4" t="inlineStr">
        <is>
          <t>Fadumo Hussein</t>
        </is>
      </c>
      <c r="B9" s="6" t="n">
        <v>144</v>
      </c>
      <c r="C9" s="8" t="n">
        <v>82120</v>
      </c>
      <c r="D9" s="8" t="n">
        <v>16180</v>
      </c>
      <c r="E9" s="6" t="n">
        <v>570.28</v>
      </c>
      <c r="F9" t="inlineStr">
        <is>
          <t>24.1%</t>
        </is>
      </c>
    </row>
    <row r="10">
      <c r="A10" s="4" t="n"/>
      <c r="B10" s="6" t="n"/>
      <c r="C10" s="6" t="n"/>
      <c r="D10" s="6" t="n"/>
      <c r="E10" s="6" t="n"/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Monthly Revenue by Category (Detail)</t>
        </is>
      </c>
    </row>
    <row r="3">
      <c r="A3" s="3" t="inlineStr">
        <is>
          <t>Month</t>
        </is>
      </c>
      <c r="B3" s="3" t="inlineStr">
        <is>
          <t>Accessories</t>
        </is>
      </c>
      <c r="C3" s="3" t="inlineStr">
        <is>
          <t>Laptops</t>
        </is>
      </c>
      <c r="D3" s="3" t="inlineStr">
        <is>
          <t>Mobile Phones</t>
        </is>
      </c>
      <c r="E3" s="3" t="inlineStr">
        <is>
          <t>Tablets</t>
        </is>
      </c>
      <c r="F3" s="3" t="inlineStr">
        <is>
          <t>Total</t>
        </is>
      </c>
    </row>
    <row r="4">
      <c r="A4" s="4" t="inlineStr">
        <is>
          <t>Aug 2026</t>
        </is>
      </c>
      <c r="B4" s="8" t="n">
        <v>41766</v>
      </c>
      <c r="C4" s="8" t="n">
        <v>56620</v>
      </c>
      <c r="D4" s="8" t="n">
        <v>85958</v>
      </c>
      <c r="E4" s="8" t="n">
        <v>13950</v>
      </c>
      <c r="F4" s="8" t="n">
        <v>198294</v>
      </c>
    </row>
    <row r="5">
      <c r="A5" s="4" t="inlineStr">
        <is>
          <t>Jul 2026</t>
        </is>
      </c>
      <c r="B5" s="8" t="n">
        <v>35891</v>
      </c>
      <c r="C5" s="8" t="n">
        <v>49620</v>
      </c>
      <c r="D5" s="8" t="n">
        <v>91257</v>
      </c>
      <c r="E5" s="8" t="n">
        <v>20020</v>
      </c>
      <c r="F5" s="8" t="n">
        <v>196788</v>
      </c>
    </row>
    <row r="6">
      <c r="A6" s="4" t="inlineStr">
        <is>
          <t>Jun 2026</t>
        </is>
      </c>
      <c r="B6" s="8" t="n">
        <v>35014</v>
      </c>
      <c r="C6" s="8" t="n">
        <v>62500</v>
      </c>
      <c r="D6" s="8" t="n">
        <v>84114</v>
      </c>
      <c r="E6" s="8" t="n">
        <v>24320</v>
      </c>
      <c r="F6" s="8" t="n">
        <v>205948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Price Tier Analysis</t>
        </is>
      </c>
    </row>
    <row r="3">
      <c r="A3" s="3" t="inlineStr">
        <is>
          <t>Price_Tier</t>
        </is>
      </c>
      <c r="B3" s="3" t="inlineStr">
        <is>
          <t>Transactions</t>
        </is>
      </c>
      <c r="C3" s="3" t="inlineStr">
        <is>
          <t>Total_Revenue</t>
        </is>
      </c>
      <c r="D3" s="3" t="inlineStr">
        <is>
          <t>Avg_Unit_Price</t>
        </is>
      </c>
      <c r="E3" s="3" t="inlineStr">
        <is>
          <t>Avg_Profit_Margin</t>
        </is>
      </c>
    </row>
    <row r="4">
      <c r="A4" s="4" t="inlineStr">
        <is>
          <t>Budget</t>
        </is>
      </c>
      <c r="B4" s="6" t="n">
        <v>201</v>
      </c>
      <c r="C4" s="8" t="n">
        <v>27690</v>
      </c>
      <c r="D4" s="9" t="n">
        <v>38.92</v>
      </c>
      <c r="E4" s="6" t="inlineStr">
        <is>
          <t>41.8%</t>
        </is>
      </c>
    </row>
    <row r="5">
      <c r="A5" s="4" t="inlineStr">
        <is>
          <t>Mid</t>
        </is>
      </c>
      <c r="B5" s="6" t="n">
        <v>342</v>
      </c>
      <c r="C5" s="8" t="n">
        <v>141750</v>
      </c>
      <c r="D5" s="9" t="n">
        <v>183.93</v>
      </c>
      <c r="E5" s="6" t="inlineStr">
        <is>
          <t>22.9%</t>
        </is>
      </c>
    </row>
    <row r="6">
      <c r="A6" s="4" t="inlineStr">
        <is>
          <t>Premium</t>
        </is>
      </c>
      <c r="B6" s="6" t="n">
        <v>186</v>
      </c>
      <c r="C6" s="8" t="n">
        <v>111360</v>
      </c>
      <c r="D6" s="9" t="n">
        <v>487.04</v>
      </c>
      <c r="E6" s="6" t="inlineStr">
        <is>
          <t>18.9%</t>
        </is>
      </c>
    </row>
    <row r="7">
      <c r="A7" s="4" t="inlineStr">
        <is>
          <t>Flagship</t>
        </is>
      </c>
      <c r="B7" s="6" t="n">
        <v>271</v>
      </c>
      <c r="C7" s="8" t="n">
        <v>320230</v>
      </c>
      <c r="D7" s="9" t="n">
        <v>1001.62</v>
      </c>
      <c r="E7" s="6" t="inlineStr">
        <is>
          <t>16.6%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ML Model Performance — Revenue Prediction</t>
        </is>
      </c>
    </row>
    <row r="2">
      <c r="A2" t="inlineStr">
        <is>
          <t>Parameter</t>
        </is>
      </c>
      <c r="B2" t="inlineStr">
        <is>
          <t>Value</t>
        </is>
      </c>
    </row>
    <row r="3">
      <c r="A3" s="3" t="n"/>
      <c r="B3" s="3" t="n"/>
    </row>
    <row r="4">
      <c r="A4" s="4" t="inlineStr">
        <is>
          <t>Target</t>
        </is>
      </c>
      <c r="B4" s="6" t="inlineStr">
        <is>
          <t>Total_Revenue_USD</t>
        </is>
      </c>
    </row>
    <row r="5">
      <c r="A5" s="4" t="inlineStr">
        <is>
          <t>Best Model</t>
        </is>
      </c>
      <c r="B5" s="6" t="inlineStr">
        <is>
          <t>GradientBoosting</t>
        </is>
      </c>
    </row>
    <row r="6">
      <c r="A6" s="4" t="inlineStr">
        <is>
          <t>Best R² Score</t>
        </is>
      </c>
      <c r="B6" s="6" t="n">
        <v>0.99</v>
      </c>
    </row>
    <row r="7">
      <c r="A7" s="4" t="inlineStr">
        <is>
          <t>Test Size</t>
        </is>
      </c>
      <c r="B7" s="6" t="inlineStr">
        <is>
          <t>20%</t>
        </is>
      </c>
    </row>
    <row r="8">
      <c r="A8" s="4" t="inlineStr">
        <is>
          <t>Train Rows</t>
        </is>
      </c>
      <c r="B8" s="6" t="n">
        <v>800</v>
      </c>
    </row>
    <row r="9">
      <c r="A9" s="4" t="inlineStr">
        <is>
          <t>Test Rows</t>
        </is>
      </c>
      <c r="B9" s="6" t="n">
        <v>200</v>
      </c>
    </row>
    <row r="10">
      <c r="A10" s="4" t="inlineStr">
        <is>
          <t>Features</t>
        </is>
      </c>
      <c r="B10" s="6" t="n">
        <v>206</v>
      </c>
    </row>
    <row r="11">
      <c r="A11" s="4" t="inlineStr">
        <is>
          <t>Target Validation</t>
        </is>
      </c>
      <c r="B11" s="6" t="inlineStr">
        <is>
          <t>LABEL_HAS_SIGNAL</t>
        </is>
      </c>
    </row>
    <row r="12">
      <c r="A12" s="4" t="inlineStr">
        <is>
          <t>Best Univariate Feature</t>
        </is>
      </c>
      <c r="B12" s="6" t="inlineStr">
        <is>
          <t>Total_Cost_USD</t>
        </is>
      </c>
    </row>
    <row r="13">
      <c r="A13" s="4" t="inlineStr">
        <is>
          <t>Preprocessing</t>
        </is>
      </c>
      <c r="B13" s="6" t="inlineStr">
        <is>
          <t>Median impute → IQR capping → StandardScaler</t>
        </is>
      </c>
    </row>
    <row r="14">
      <c r="A14" s="4" t="inlineStr">
        <is>
          <t>Categoricals</t>
        </is>
      </c>
      <c r="B14" s="6" t="inlineStr">
        <is>
          <t>Rare group (&lt;1% → OTHER) → OneHotEncoder</t>
        </is>
      </c>
    </row>
    <row r="15">
      <c r="A15" s="4" t="inlineStr">
        <is>
          <t>Leakage Guard</t>
        </is>
      </c>
      <c r="B15" s="6" t="inlineStr">
        <is>
          <t>Fit on TRAIN only</t>
        </is>
      </c>
    </row>
    <row r="18">
      <c r="A18" s="7" t="inlineStr">
        <is>
          <t>Per-Model Metrics</t>
        </is>
      </c>
    </row>
    <row r="19">
      <c r="A19" s="3" t="n"/>
      <c r="B19" s="3" t="n"/>
      <c r="C19" s="3" t="n"/>
      <c r="D19" s="3" t="n"/>
      <c r="E19" s="3" t="n"/>
    </row>
    <row r="20">
      <c r="A20" s="4" t="inlineStr">
        <is>
          <t>Model</t>
        </is>
      </c>
      <c r="B20" s="10" t="inlineStr">
        <is>
          <t>R² Score</t>
        </is>
      </c>
      <c r="C20" s="9" t="inlineStr">
        <is>
          <t>MAE ($)</t>
        </is>
      </c>
      <c r="D20" s="9" t="inlineStr">
        <is>
          <t>RMSE ($)</t>
        </is>
      </c>
      <c r="E20" s="11" t="inlineStr">
        <is>
          <t>MAPE (%)</t>
        </is>
      </c>
    </row>
    <row r="21">
      <c r="A21" s="4" t="inlineStr">
        <is>
          <t>LinearRegression</t>
        </is>
      </c>
      <c r="B21" s="10" t="n">
        <v>0.9451000000000001</v>
      </c>
      <c r="C21" s="9" t="n">
        <v>46.77</v>
      </c>
      <c r="D21" s="9" t="n">
        <v>118.69</v>
      </c>
      <c r="E21" s="11" t="n">
        <v>13.02</v>
      </c>
    </row>
    <row r="22">
      <c r="A22" s="4" t="inlineStr">
        <is>
          <t>RandomForest</t>
        </is>
      </c>
      <c r="B22" s="10" t="n">
        <v>0.9401</v>
      </c>
      <c r="C22" s="9" t="n">
        <v>54.87</v>
      </c>
      <c r="D22" s="9" t="n">
        <v>123.95</v>
      </c>
      <c r="E22" s="11" t="n">
        <v>16.26</v>
      </c>
    </row>
    <row r="23">
      <c r="A23" t="inlineStr">
        <is>
          <t>GradientBoosting</t>
        </is>
      </c>
      <c r="B23" t="n">
        <v>0.99</v>
      </c>
      <c r="C23" t="n">
        <v>4.05</v>
      </c>
      <c r="D23" t="n">
        <v>50.65</v>
      </c>
      <c r="E23" t="n">
        <v>0.24</v>
      </c>
    </row>
  </sheetData>
  <mergeCells count="2">
    <mergeCell ref="A1:F1"/>
    <mergeCell ref="A18:E18"/>
  </mergeCells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6" customWidth="1" min="4" max="4"/>
  </cols>
  <sheetData>
    <row r="1" ht="32" customHeight="1">
      <c r="A1" s="1" t="inlineStr">
        <is>
          <t>Top 15 Features (GradientBoosting Importance)</t>
        </is>
      </c>
    </row>
    <row r="3">
      <c r="A3" s="3" t="inlineStr">
        <is>
          <t>Rank</t>
        </is>
      </c>
      <c r="B3" s="3" t="inlineStr">
        <is>
          <t>Feature</t>
        </is>
      </c>
      <c r="C3" s="3" t="inlineStr">
        <is>
          <t>Importance</t>
        </is>
      </c>
      <c r="D3" s="3" t="inlineStr">
        <is>
          <t>Normalized (%)</t>
        </is>
      </c>
    </row>
    <row r="4">
      <c r="A4" s="4" t="n">
        <v>1</v>
      </c>
      <c r="B4" s="6" t="inlineStr">
        <is>
          <t>Log_Revenue_scaled</t>
        </is>
      </c>
      <c r="C4" s="12" t="n">
        <v>0.7200399953330306</v>
      </c>
      <c r="D4" s="11" t="n">
        <v>72.01478988971223</v>
      </c>
    </row>
    <row r="5">
      <c r="A5" s="4" t="n">
        <v>2</v>
      </c>
      <c r="B5" s="6" t="inlineStr">
        <is>
          <t>Total_Cost_USD_scaled</t>
        </is>
      </c>
      <c r="C5" s="12" t="n">
        <v>0.2749702325483839</v>
      </c>
      <c r="D5" s="11" t="n">
        <v>27.50114389651154</v>
      </c>
    </row>
    <row r="6">
      <c r="A6" s="4" t="n">
        <v>3</v>
      </c>
      <c r="B6" s="6" t="inlineStr">
        <is>
          <t>Unit_Cost_USD_scaled</t>
        </is>
      </c>
      <c r="C6" s="12" t="n">
        <v>0.001034771284743236</v>
      </c>
      <c r="D6" s="11" t="n">
        <v>0.1034926353226053</v>
      </c>
    </row>
    <row r="7">
      <c r="A7" s="4" t="n">
        <v>4</v>
      </c>
      <c r="B7" s="6" t="inlineStr">
        <is>
          <t>Product_Name_iPhone 16 Pro Max 256GB</t>
        </is>
      </c>
      <c r="C7" s="12" t="n">
        <v>0.0009530581563354721</v>
      </c>
      <c r="D7" s="11" t="n">
        <v>0.09532009794738003</v>
      </c>
    </row>
    <row r="8">
      <c r="A8" s="4" t="n">
        <v>5</v>
      </c>
      <c r="B8" s="6" t="inlineStr">
        <is>
          <t>Unit_Price_USD_scaled</t>
        </is>
      </c>
      <c r="C8" s="12" t="n">
        <v>0.000755915762535532</v>
      </c>
      <c r="D8" s="11" t="n">
        <v>0.0756029042360902</v>
      </c>
    </row>
    <row r="9">
      <c r="A9" s="4" t="n">
        <v>6</v>
      </c>
      <c r="B9" s="6" t="inlineStr">
        <is>
          <t>Quantity_scaled</t>
        </is>
      </c>
      <c r="C9" s="12" t="n">
        <v>0.00072112948924453</v>
      </c>
      <c r="D9" s="11" t="n">
        <v>0.07212375560777134</v>
      </c>
    </row>
    <row r="10">
      <c r="A10" s="4" t="n">
        <v>7</v>
      </c>
      <c r="B10" s="6" t="inlineStr">
        <is>
          <t>Month_scaled</t>
        </is>
      </c>
      <c r="C10" s="12" t="n">
        <v>0.0003660534363710865</v>
      </c>
      <c r="D10" s="11" t="n">
        <v>0.03661082923106016</v>
      </c>
    </row>
    <row r="11">
      <c r="A11" s="4" t="n">
        <v>8</v>
      </c>
      <c r="B11" s="6" t="inlineStr">
        <is>
          <t>Location_Rank_scaled</t>
        </is>
      </c>
      <c r="C11" s="12" t="n">
        <v>0.000319276965961862</v>
      </c>
      <c r="D11" s="11" t="n">
        <v>0.0319324812085387</v>
      </c>
    </row>
    <row r="12">
      <c r="A12" s="4" t="n">
        <v>9</v>
      </c>
      <c r="B12" s="6" t="inlineStr">
        <is>
          <t>Payment_Method_Premier Wallet</t>
        </is>
      </c>
      <c r="C12" s="12" t="n">
        <v>0.0002382151118976203</v>
      </c>
      <c r="D12" s="11" t="n">
        <v>0.02382508102751561</v>
      </c>
    </row>
    <row r="13">
      <c r="A13" s="4" t="n">
        <v>10</v>
      </c>
      <c r="B13" s="6" t="inlineStr">
        <is>
          <t>Profit_Margin_scaled</t>
        </is>
      </c>
      <c r="C13" s="12" t="n">
        <v>0.0001626840692186709</v>
      </c>
      <c r="D13" s="11" t="n">
        <v>0.01627084486850942</v>
      </c>
    </row>
    <row r="14">
      <c r="A14" s="4" t="n">
        <v>11</v>
      </c>
      <c r="B14" s="6" t="inlineStr">
        <is>
          <t>Location_Bosaso</t>
        </is>
      </c>
      <c r="C14" s="12" t="n">
        <v>9.927015186929241e-05</v>
      </c>
      <c r="D14" s="11" t="n">
        <v>0.009928502826958136</v>
      </c>
    </row>
    <row r="15">
      <c r="A15" s="4" t="n">
        <v>12</v>
      </c>
      <c r="B15" s="6" t="inlineStr">
        <is>
          <t>Date_OTHER</t>
        </is>
      </c>
      <c r="C15" s="12" t="n">
        <v>6.249686868296239e-05</v>
      </c>
      <c r="D15" s="11" t="n">
        <v>0.006250623432225906</v>
      </c>
    </row>
    <row r="16">
      <c r="A16" s="4" t="n">
        <v>13</v>
      </c>
      <c r="B16" s="6" t="inlineStr">
        <is>
          <t>Product_Name_iPhone 16 Pro 128GB</t>
        </is>
      </c>
      <c r="C16" s="12" t="n">
        <v>5.93866667233765e-05</v>
      </c>
      <c r="D16" s="11" t="n">
        <v>0.005939556627484657</v>
      </c>
    </row>
    <row r="17">
      <c r="A17" s="4" t="n">
        <v>14</v>
      </c>
      <c r="B17" s="6" t="inlineStr">
        <is>
          <t>Sales_Rep_Abdirizak Noor</t>
        </is>
      </c>
      <c r="C17" s="12" t="n">
        <v>4.736849929697477e-05</v>
      </c>
      <c r="D17" s="11" t="n">
        <v>0.004737559783307408</v>
      </c>
    </row>
    <row r="18">
      <c r="A18" s="4" t="n">
        <v>15</v>
      </c>
      <c r="B18" s="6" t="inlineStr">
        <is>
          <t>Profit_USD_scaled</t>
        </is>
      </c>
      <c r="C18" s="12" t="n">
        <v>2.031037290115376e-05</v>
      </c>
      <c r="D18" s="11" t="n">
        <v>0.002031341656766989</v>
      </c>
    </row>
  </sheetData>
  <mergeCells count="1">
    <mergeCell ref="A1:D1"/>
  </mergeCells>
  <conditionalFormatting sqref="C4:C18">
    <cfRule type="colorScale" priority="1">
      <colorScale>
        <cfvo type="min"/>
        <cfvo type="max"/>
        <color rgb="001E293B"/>
        <color rgb="0010B981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2026-09-02T14:53:51Z</dcterms:created>
  <dcterms:modified xmlns:dcterms="http://purl.org/dc/terms/" xmlns:xsi="http://www.w3.org/2001/XMLSchema-instance" xsi:type="dcterms:W3CDTF">2026-09-02T14:53:51Z</dcterms:modified>
</cp:coreProperties>
</file>